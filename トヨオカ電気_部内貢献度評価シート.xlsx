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内貢献度評価" sheetId="1" state="visible" r:id="rId1"/>
  </sheets>
  <definedNames>
    <definedName name="_xlnm.Print_Area" localSheetId="0">'部内貢献度評価'!$A$1:$H$30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b val="1"/>
      <color rgb="00FFFFFF"/>
      <sz val="10"/>
    </font>
    <font>
      <name val="Meiryo UI"/>
      <color rgb="00000000"/>
      <sz val="11"/>
    </font>
    <font>
      <name val="Meiryo UI"/>
      <b val="1"/>
      <color rgb="00FFFFFF"/>
      <sz val="11"/>
    </font>
    <font>
      <name val="Meiryo UI"/>
      <b val="1"/>
      <color rgb="00000000"/>
      <sz val="10"/>
    </font>
    <font>
      <name val="Meiryo UI"/>
      <color rgb="00444444"/>
      <sz val="8"/>
    </font>
    <font>
      <name val="Meiryo UI"/>
      <b val="1"/>
      <color rgb="00000000"/>
      <sz val="13"/>
    </font>
    <font>
      <name val="Meiryo UI"/>
      <color rgb="00555555"/>
      <sz val="9"/>
    </font>
    <font>
      <name val="Meiryo UI"/>
      <b val="1"/>
      <color rgb="00FFFFFF"/>
      <sz val="14"/>
    </font>
    <font>
      <name val="Meiryo UI"/>
      <b val="1"/>
      <color rgb="00FFFFFF"/>
      <sz val="13"/>
    </font>
    <font>
      <name val="Meiryo UI"/>
      <b val="1"/>
      <color rgb="00FFD700"/>
      <sz val="20"/>
    </font>
    <font>
      <name val="Meiryo UI"/>
      <b val="1"/>
      <color rgb="00FFFFFF"/>
      <sz val="24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A7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90CAF9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A5D6A7"/>
      </patternFill>
    </fill>
    <fill>
      <patternFill patternType="solid">
        <fgColor rgb="00E65100"/>
      </patternFill>
    </fill>
    <fill>
      <patternFill patternType="solid">
        <fgColor rgb="00FFE0B2"/>
      </patternFill>
    </fill>
    <fill>
      <patternFill patternType="solid">
        <fgColor rgb="00FFF3E0"/>
      </patternFill>
    </fill>
    <fill>
      <patternFill patternType="solid">
        <fgColor rgb="00FFCC80"/>
      </patternFill>
    </fill>
    <fill>
      <patternFill patternType="solid">
        <fgColor rgb="00EEEEEE"/>
      </patternFill>
    </fill>
    <fill>
      <patternFill patternType="solid">
        <fgColor rgb="00263238"/>
      </patternFill>
    </fill>
    <fill>
      <patternFill patternType="solid">
        <fgColor rgb="0037474F"/>
      </patternFill>
    </fill>
  </fills>
  <borders count="13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 style="thin">
        <color rgb="00AAAAAA"/>
      </right>
      <top/>
      <bottom style="thin">
        <color rgb="00AAAAAA"/>
      </bottom>
      <diagonal/>
    </border>
    <border>
      <left/>
      <right style="thin">
        <color rgb="00AAAAAA"/>
      </right>
      <top/>
      <bottom/>
      <diagonal/>
    </border>
    <border>
      <left/>
      <right/>
      <top/>
      <bottom style="thin">
        <color rgb="00AAAAAA"/>
      </bottom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2" pivotButton="0" quotePrefix="0" xfId="0"/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5" borderId="2" pivotButton="0" quotePrefix="0" xfId="0"/>
    <xf numFmtId="0" fontId="2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7" borderId="2" pivotButton="0" quotePrefix="0" xfId="0"/>
    <xf numFmtId="0" fontId="2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3" pivotButton="0" quotePrefix="0" xfId="0"/>
    <xf numFmtId="0" fontId="2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0" fillId="0" borderId="2" pivotButton="0" quotePrefix="0" xfId="0"/>
    <xf numFmtId="2" fontId="5" fillId="9" borderId="2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0" fillId="11" borderId="2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2" fontId="5" fillId="13" borderId="2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0" fillId="15" borderId="2" pivotButton="0" quotePrefix="0" xfId="0"/>
    <xf numFmtId="0" fontId="2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0" fillId="18" borderId="2" pivotButton="0" quotePrefix="0" xfId="0"/>
    <xf numFmtId="0" fontId="5" fillId="18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/>
    </xf>
    <xf numFmtId="0" fontId="10" fillId="19" borderId="1" applyAlignment="1" pivotButton="0" quotePrefix="0" xfId="0">
      <alignment horizontal="left" vertical="center"/>
    </xf>
    <xf numFmtId="0" fontId="11" fillId="1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2" customWidth="1" min="6" max="6"/>
    <col width="14" customWidth="1" min="7" max="7"/>
    <col width="18" customWidth="1" min="8" max="8"/>
  </cols>
  <sheetData>
    <row r="1" ht="8" customHeight="1"/>
    <row r="2" ht="36" customHeight="1">
      <c r="A2" s="1" t="inlineStr">
        <is>
          <t>部内貢献度評価シート　─　トヨオカ電気</t>
        </is>
      </c>
      <c r="B2" s="2" t="n"/>
      <c r="C2" s="2" t="n"/>
      <c r="D2" s="2" t="n"/>
      <c r="E2" s="2" t="n"/>
      <c r="F2" s="2" t="n"/>
      <c r="G2" s="2" t="n"/>
      <c r="H2" s="2" t="n"/>
    </row>
    <row r="3" ht="28" customHeight="1">
      <c r="A3" s="3" t="n"/>
      <c r="B3" s="4" t="inlineStr">
        <is>
          <t>社員名</t>
        </is>
      </c>
      <c r="C3" s="5" t="n"/>
      <c r="F3" s="6" t="n"/>
    </row>
    <row r="4" ht="28" customHeight="1">
      <c r="A4" s="3" t="n"/>
      <c r="B4" s="4" t="inlineStr">
        <is>
          <t>所　属</t>
        </is>
      </c>
      <c r="C4" s="5" t="n"/>
      <c r="F4" s="6" t="n"/>
    </row>
    <row r="5" ht="28" customHeight="1">
      <c r="A5" s="3" t="n"/>
      <c r="B5" s="4" t="inlineStr">
        <is>
          <t>評価期間</t>
        </is>
      </c>
      <c r="C5" s="5" t="n"/>
      <c r="F5" s="6" t="n"/>
    </row>
    <row r="6" ht="28" customHeight="1">
      <c r="A6" s="3" t="n"/>
      <c r="B6" s="4" t="inlineStr">
        <is>
          <t>評価者</t>
        </is>
      </c>
      <c r="C6" s="5" t="n"/>
      <c r="F6" s="6" t="n"/>
    </row>
    <row r="7" ht="16" customHeight="1"/>
    <row r="8" ht="28" customHeight="1">
      <c r="A8" s="7" t="inlineStr">
        <is>
          <t xml:space="preserve">　▼　評価入力エリア（各項目：1〜5点で入力してください）</t>
        </is>
      </c>
    </row>
    <row r="9" ht="24" customHeight="1">
      <c r="A9" s="8" t="inlineStr">
        <is>
          <t xml:space="preserve">  ■ カテゴリ 1：基本行動（配点 40点）</t>
        </is>
      </c>
      <c r="B9" s="2" t="n"/>
      <c r="C9" s="2" t="n"/>
      <c r="D9" s="2" t="n"/>
      <c r="E9" s="2" t="n"/>
      <c r="F9" s="2" t="n"/>
      <c r="G9" s="2" t="n"/>
      <c r="H9" s="2" t="n"/>
    </row>
    <row r="10" ht="28" customHeight="1">
      <c r="A10" s="9" t="n"/>
      <c r="B10" s="10" t="inlineStr">
        <is>
          <t>評価項目</t>
        </is>
      </c>
      <c r="C10" s="10" t="inlineStr">
        <is>
          <t>評価基準（参考）</t>
        </is>
      </c>
      <c r="D10" s="11" t="n"/>
      <c r="E10" s="11" t="n"/>
      <c r="F10" s="12" t="n"/>
      <c r="G10" s="13" t="inlineStr">
        <is>
          <t>スコア（1〜5）</t>
        </is>
      </c>
      <c r="H10" s="10" t="inlineStr">
        <is>
          <t>換算点</t>
        </is>
      </c>
    </row>
    <row r="11" ht="28" customHeight="1">
      <c r="A11" s="9" t="n"/>
      <c r="B11" s="14" t="inlineStr">
        <is>
          <t>期限遵守</t>
        </is>
      </c>
      <c r="C11" s="15" t="inlineStr">
        <is>
          <t>5:常に守る  4:ほぼ守る  3:概ね守る  2:遅れ有  1:頻繁に遅延</t>
        </is>
      </c>
      <c r="G11" s="16" t="n"/>
      <c r="H11" s="17" t="inlineStr">
        <is>
          <t>―</t>
        </is>
      </c>
    </row>
    <row r="12" ht="28" customHeight="1">
      <c r="A12" s="9" t="n"/>
      <c r="B12" s="14" t="inlineStr">
        <is>
          <t>報連相</t>
        </is>
      </c>
      <c r="C12" s="15" t="inlineStr">
        <is>
          <t>5:適切・迅速  4:ほぼ適切  3:概ね実施  2:不足有  1:ほとんどなし</t>
        </is>
      </c>
      <c r="G12" s="16" t="n"/>
      <c r="H12" s="17" t="inlineStr">
        <is>
          <t>―</t>
        </is>
      </c>
    </row>
    <row r="13" ht="28" customHeight="1">
      <c r="A13" s="9" t="n"/>
      <c r="B13" s="14" t="inlineStr">
        <is>
          <t>ルール遵守</t>
        </is>
      </c>
      <c r="C13" s="15" t="inlineStr">
        <is>
          <t>5:完全遵守  4:ほぼ遵守  3:概ね遵守  2:違反有  1:頻繁に違反</t>
        </is>
      </c>
      <c r="G13" s="16" t="n"/>
      <c r="H13" s="17" t="inlineStr">
        <is>
          <t>―</t>
        </is>
      </c>
    </row>
    <row r="14" ht="30" customHeight="1">
      <c r="A14" s="18" t="inlineStr">
        <is>
          <t>カテゴリ1 合計</t>
        </is>
      </c>
      <c r="B14" s="19" t="n"/>
      <c r="C14" s="20">
        <f>IF(COUNTA(G11:G13)=3,AVERAGE(G11:G13),"未入力")</f>
        <v/>
      </c>
      <c r="D14" s="19" t="n"/>
      <c r="E14" s="18" t="inlineStr">
        <is>
          <t xml:space="preserve">　×8　=</t>
        </is>
      </c>
      <c r="F14" s="21">
        <f>IF(ISNUMBER(C14),ROUND(C14*8,1),"―")</f>
        <v/>
      </c>
      <c r="G14" s="2" t="n"/>
      <c r="H14" s="2" t="n"/>
    </row>
    <row r="15" ht="24" customHeight="1"/>
    <row r="16" ht="28" customHeight="1">
      <c r="A16" s="22" t="inlineStr">
        <is>
          <t xml:space="preserve">  ■ カテゴリ 2：支援行動（配点 30点）</t>
        </is>
      </c>
      <c r="B16" s="2" t="n"/>
      <c r="C16" s="2" t="n"/>
      <c r="D16" s="2" t="n"/>
      <c r="E16" s="2" t="n"/>
      <c r="F16" s="2" t="n"/>
      <c r="G16" s="2" t="n"/>
      <c r="H16" s="2" t="n"/>
    </row>
    <row r="17" ht="28" customHeight="1">
      <c r="A17" s="23" t="n"/>
      <c r="B17" s="24" t="inlineStr">
        <is>
          <t>評価項目</t>
        </is>
      </c>
      <c r="C17" s="24" t="inlineStr">
        <is>
          <t>評価基準（参考）</t>
        </is>
      </c>
      <c r="D17" s="11" t="n"/>
      <c r="E17" s="11" t="n"/>
      <c r="F17" s="12" t="n"/>
      <c r="G17" s="25" t="inlineStr">
        <is>
          <t>スコア（1〜5）</t>
        </is>
      </c>
      <c r="H17" s="24" t="inlineStr">
        <is>
          <t>換算点</t>
        </is>
      </c>
    </row>
    <row r="18" ht="28" customHeight="1">
      <c r="A18" s="23" t="n"/>
      <c r="B18" s="26" t="inlineStr">
        <is>
          <t>他部署応援</t>
        </is>
      </c>
      <c r="C18" s="27" t="inlineStr">
        <is>
          <t>5:積極的に支援  4:求めに応じる  3:指示で動く  2:消極的  1:非協力</t>
        </is>
      </c>
      <c r="G18" s="28" t="n"/>
      <c r="H18" s="29" t="inlineStr">
        <is>
          <t>―</t>
        </is>
      </c>
    </row>
    <row r="19" ht="28" customHeight="1">
      <c r="A19" s="23" t="n"/>
      <c r="B19" s="26" t="inlineStr">
        <is>
          <t>部内支援</t>
        </is>
      </c>
      <c r="C19" s="27" t="inlineStr">
        <is>
          <t>5:率先して支援  4:依頼で快諾  3:指示で動く  2:消極的  1:非協力</t>
        </is>
      </c>
      <c r="G19" s="28" t="n"/>
      <c r="H19" s="29" t="inlineStr">
        <is>
          <t>―</t>
        </is>
      </c>
    </row>
    <row r="20" ht="28" customHeight="1">
      <c r="A20" s="23" t="n"/>
      <c r="B20" s="26" t="inlineStr">
        <is>
          <t>教育・フォロー</t>
        </is>
      </c>
      <c r="C20" s="27" t="inlineStr">
        <is>
          <t>5:積極指導  4:依頼対応  3:指示で対応  2:消極的  1:ほぼなし</t>
        </is>
      </c>
      <c r="G20" s="28" t="n"/>
      <c r="H20" s="29" t="inlineStr">
        <is>
          <t>―</t>
        </is>
      </c>
    </row>
    <row r="21" ht="30" customHeight="1">
      <c r="A21" s="30" t="inlineStr">
        <is>
          <t>カテゴリ2 合計</t>
        </is>
      </c>
      <c r="B21" s="19" t="n"/>
      <c r="C21" s="31">
        <f>IF(COUNTA(G18:G20)=3,AVERAGE(G18:G20),"未入力")</f>
        <v/>
      </c>
      <c r="D21" s="19" t="n"/>
      <c r="E21" s="30" t="inlineStr">
        <is>
          <t xml:space="preserve">　×6　=</t>
        </is>
      </c>
      <c r="F21" s="32">
        <f>IF(ISNUMBER(C21),ROUND(C21*6,1),"―")</f>
        <v/>
      </c>
      <c r="G21" s="2" t="n"/>
      <c r="H21" s="2" t="n"/>
    </row>
    <row r="22" ht="28" customHeight="1"/>
    <row r="23" ht="28" customHeight="1">
      <c r="A23" s="33" t="inlineStr">
        <is>
          <t xml:space="preserve">  ■ カテゴリ 3：付加価値（配点 30点）</t>
        </is>
      </c>
      <c r="B23" s="2" t="n"/>
      <c r="C23" s="2" t="n"/>
      <c r="D23" s="2" t="n"/>
      <c r="E23" s="2" t="n"/>
      <c r="F23" s="2" t="n"/>
      <c r="G23" s="2" t="n"/>
      <c r="H23" s="2" t="n"/>
    </row>
    <row r="24" ht="28" customHeight="1">
      <c r="A24" s="34" t="n"/>
      <c r="B24" s="35" t="inlineStr">
        <is>
          <t>評価項目</t>
        </is>
      </c>
      <c r="C24" s="35" t="inlineStr">
        <is>
          <t>評価基準（参考）</t>
        </is>
      </c>
      <c r="D24" s="11" t="n"/>
      <c r="E24" s="11" t="n"/>
      <c r="F24" s="12" t="n"/>
      <c r="G24" s="36" t="inlineStr">
        <is>
          <t>スコア（1〜5）</t>
        </is>
      </c>
      <c r="H24" s="35" t="inlineStr">
        <is>
          <t>換算点</t>
        </is>
      </c>
    </row>
    <row r="25" ht="28" customHeight="1">
      <c r="A25" s="34" t="n"/>
      <c r="B25" s="37" t="inlineStr">
        <is>
          <t>改善提案</t>
        </is>
      </c>
      <c r="C25" s="38" t="inlineStr">
        <is>
          <t>5:複数実施・採用  4:提案有  3:1件提出  2:検討中のみ  1:なし</t>
        </is>
      </c>
      <c r="G25" s="39" t="n"/>
      <c r="H25" s="40" t="inlineStr">
        <is>
          <t>―</t>
        </is>
      </c>
    </row>
    <row r="26" ht="28" customHeight="1">
      <c r="A26" s="34" t="n"/>
      <c r="B26" s="37" t="inlineStr">
        <is>
          <t>業務効率化</t>
        </is>
      </c>
      <c r="C26" s="38" t="inlineStr">
        <is>
          <t>5:大幅改善  4:改善有  3:一部改善  2:検討中  1:変化なし</t>
        </is>
      </c>
      <c r="G26" s="39" t="n"/>
      <c r="H26" s="40" t="inlineStr">
        <is>
          <t>―</t>
        </is>
      </c>
    </row>
    <row r="27" ht="16" customHeight="1">
      <c r="A27" s="41" t="n"/>
      <c r="B27" s="42" t="inlineStr">
        <is>
          <t>付加活動</t>
        </is>
      </c>
      <c r="C27" s="43" t="inlineStr">
        <is>
          <t>5:複数の貢献  4:1つ以上  3:指示で参加  2:消極的参加  1:なし</t>
        </is>
      </c>
      <c r="D27" s="41" t="n"/>
      <c r="E27" s="41" t="n"/>
      <c r="F27" s="41" t="n"/>
      <c r="G27" s="44" t="n"/>
      <c r="H27" s="45" t="inlineStr">
        <is>
          <t>―</t>
        </is>
      </c>
    </row>
    <row r="28" ht="30" customHeight="1">
      <c r="A28" s="46" t="inlineStr">
        <is>
          <t xml:space="preserve">　◆　合計スコア（100点満点）</t>
        </is>
      </c>
      <c r="B28" s="2" t="n"/>
      <c r="C28" s="2" t="n"/>
      <c r="D28" s="2" t="n"/>
      <c r="E28" s="47">
        <f>IF(AND(ISNUMBER(F14),ISNUMBER(F21),ISNUMBER(F28)),F14+F21+F28,"未入力あり")</f>
        <v/>
      </c>
      <c r="F28" s="2" t="n"/>
      <c r="G28" s="2" t="n"/>
      <c r="H28" s="2" t="n"/>
    </row>
    <row r="29" ht="34" customHeight="1">
      <c r="A29" s="46" t="inlineStr">
        <is>
          <t xml:space="preserve">　◆　評価ランク</t>
        </is>
      </c>
      <c r="B29" s="2" t="n"/>
      <c r="C29" s="2" t="n"/>
      <c r="D29" s="2" t="n"/>
      <c r="E29" s="48">
        <f>IF(NOT(ISNUMBER(E28)),"―",IF(E28&gt;=80,"A",IF(E28&gt;=65,"B",IF(E28&gt;=50,"C","D"))))</f>
        <v/>
      </c>
      <c r="F29" s="2" t="n"/>
      <c r="G29" s="2" t="n"/>
      <c r="H29" s="2" t="n"/>
    </row>
    <row r="30" ht="28" customHeight="1">
      <c r="A30" s="43" t="inlineStr">
        <is>
          <t>【ランク基準】  A：80点以上　B：65〜79点　C：50〜64点　D：49点以下　　※スコア未入力の場合、合計・ランクは「未入力あり」または「―」と表示されます</t>
        </is>
      </c>
    </row>
  </sheetData>
  <mergeCells count="43">
    <mergeCell ref="A9:H9"/>
    <mergeCell ref="A30:H30"/>
    <mergeCell ref="C17:F17"/>
    <mergeCell ref="F5:H5"/>
    <mergeCell ref="B6"/>
    <mergeCell ref="A29:D29"/>
    <mergeCell ref="C14:D14"/>
    <mergeCell ref="B5"/>
    <mergeCell ref="C19:F19"/>
    <mergeCell ref="A28:D28"/>
    <mergeCell ref="C13:F13"/>
    <mergeCell ref="C18:F18"/>
    <mergeCell ref="B4"/>
    <mergeCell ref="F28:H28"/>
    <mergeCell ref="A16:H16"/>
    <mergeCell ref="B3"/>
    <mergeCell ref="C24:F24"/>
    <mergeCell ref="A21:B21"/>
    <mergeCell ref="C21:D21"/>
    <mergeCell ref="F14:H14"/>
    <mergeCell ref="A2:H2"/>
    <mergeCell ref="C20:F20"/>
    <mergeCell ref="C26:F26"/>
    <mergeCell ref="C3:E3"/>
    <mergeCell ref="F4:H4"/>
    <mergeCell ref="A14:B14"/>
    <mergeCell ref="C25:F25"/>
    <mergeCell ref="E29:H29"/>
    <mergeCell ref="C10:F10"/>
    <mergeCell ref="A23:H23"/>
    <mergeCell ref="A8:H8"/>
    <mergeCell ref="E28:H28"/>
    <mergeCell ref="C6:E6"/>
    <mergeCell ref="F6:H6"/>
    <mergeCell ref="C5:E5"/>
    <mergeCell ref="C12:F12"/>
    <mergeCell ref="A28:B28"/>
    <mergeCell ref="C4:E4"/>
    <mergeCell ref="C28:D28"/>
    <mergeCell ref="C11:F11"/>
    <mergeCell ref="C27:F27"/>
    <mergeCell ref="F3:H3"/>
    <mergeCell ref="F21:H21"/>
  </mergeCells>
  <dataValidations count="3">
    <dataValidation sqref="G11 G12 G13" showDropDown="0" showInputMessage="1" showErrorMessage="1" allowBlank="1" errorTitle="入力エラー" error="1〜5の整数を選択してください" promptTitle="スコア入力" prompt="1（低）〜5（高）から選択" type="list">
      <formula1>"1,2,3,4,5"</formula1>
    </dataValidation>
    <dataValidation sqref="G18 G19 G20" showDropDown="0" showInputMessage="1" showErrorMessage="1" allowBlank="1" errorTitle="入力エラー" error="1〜5の整数を選択してください" promptTitle="スコア入力" prompt="1（低）〜5（高）から選択" type="list">
      <formula1>"1,2,3,4,5"</formula1>
    </dataValidation>
    <dataValidation sqref="G25 G26 G27" showDropDown="0" showInputMessage="1" showErrorMessage="1" allowBlank="1" errorTitle="入力エラー" error="1〜5の整数を選択してください" promptTitle="スコア入力" prompt="1（低）〜5（高）から選択" type="list">
      <formula1>"1,2,3,4,5"</formula1>
    </dataValidation>
  </dataValidations>
  <pageMargins left="0.75" right="0.75" top="1" bottom="1" header="0.5" footer="0.5"/>
  <pageSetup orientation="portrait" fitToHeight="1" fitToWidth="1"/>
  <headerFooter>
    <oddHeader>&amp;C部内貢献度評価シート　トヨオカ電気</oddHeader>
    <oddFooter>&amp;CPage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2026-04-27T03:38:23Z</dcterms:created>
  <dcterms:modified xsi:type="dcterms:W3CDTF">2026-04-27T03:38:23Z</dcterms:modified>
</cp:coreProperties>
</file>